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Shop P&amp;L" sheetId="2" state="visible" r:id="rId4"/>
    <sheet name="Platform P&amp;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<sst xmlns="http://schemas.openxmlformats.org/spreadsheetml/2006/main" count="47" uniqueCount="44">
  <si>
    <t xml:space="preserve">DUM Club Profit Model — Assumptions (blue cells = change me)</t>
  </si>
  <si>
    <t xml:space="preserve">FIXED MONTHLY COSTS (platform, regardless of merchants)</t>
  </si>
  <si>
    <t xml:space="preserve">Vercel (frontend hosting, Pro)</t>
  </si>
  <si>
    <t xml:space="preserve">Railway (backend API + cron services)</t>
  </si>
  <si>
    <t xml:space="preserve">Supabase (database, Pro)</t>
  </si>
  <si>
    <t xml:space="preserve">Resend (email)</t>
  </si>
  <si>
    <t xml:space="preserve">Privy (auth)</t>
  </si>
  <si>
    <t xml:space="preserve">Domains (GoDaddy, monthly-ized)</t>
  </si>
  <si>
    <t xml:space="preserve">Anthropic API (AI chat features)</t>
  </si>
  <si>
    <t xml:space="preserve">VARIABLE COST RATES (verified)</t>
  </si>
  <si>
    <t xml:space="preserve">AWS IVS cost per viewer-hour ($) [aws.amazon.com/ivs/pricing, 2026-07]</t>
  </si>
  <si>
    <t xml:space="preserve">Stripe fee on subscription collections (%)</t>
  </si>
  <si>
    <t xml:space="preserve">Stripe fixed fee per subscription charge ($)</t>
  </si>
  <si>
    <t xml:space="preserve">PER-SHOP BEHAVIOR (change for scenarios)</t>
  </si>
  <si>
    <t xml:space="preserve">Avg viewer-hours used per shop / month</t>
  </si>
  <si>
    <t xml:space="preserve">Avg GMV per shop / month ($)</t>
  </si>
  <si>
    <t xml:space="preserve">Platform sales fee (%)</t>
  </si>
  <si>
    <t xml:space="preserve">TIER PRICES ($/mo)</t>
  </si>
  <si>
    <t xml:space="preserve">Starter</t>
  </si>
  <si>
    <t xml:space="preserve">Growth</t>
  </si>
  <si>
    <t xml:space="preserve">Pro</t>
  </si>
  <si>
    <t xml:space="preserve">Included viewer-hours: Starter</t>
  </si>
  <si>
    <t xml:space="preserve">Included viewer-hours: Growth</t>
  </si>
  <si>
    <t xml:space="preserve">Included viewer-hours: Pro</t>
  </si>
  <si>
    <t xml:space="preserve">Overage rate: Starter ($/vh)</t>
  </si>
  <si>
    <t xml:space="preserve">Overage rate: Growth ($/vh)</t>
  </si>
  <si>
    <t xml:space="preserve">Overage rate: Pro ($/vh)</t>
  </si>
  <si>
    <t xml:space="preserve">Monthly profit per shop, by tier (at the behavior set in Assumptions)</t>
  </si>
  <si>
    <t xml:space="preserve">Subscription revenue</t>
  </si>
  <si>
    <t xml:space="preserve">Sales-fee revenue (GMV × fee)</t>
  </si>
  <si>
    <t xml:space="preserve">Overage billed (after no-double-bill waiver)</t>
  </si>
  <si>
    <t xml:space="preserve">Total revenue</t>
  </si>
  <si>
    <t xml:space="preserve">AWS streaming cost (vh × IVS rate)</t>
  </si>
  <si>
    <t xml:space="preserve">Stripe fee on subscription</t>
  </si>
  <si>
    <t xml:space="preserve">Profit per shop / month</t>
  </si>
  <si>
    <t xml:space="preserve">Margin</t>
  </si>
  <si>
    <t xml:space="preserve">Platform monthly profit at N shops (all Starter, behavior per Assumptions)</t>
  </si>
  <si>
    <t xml:space="preserve">Shops</t>
  </si>
  <si>
    <t xml:space="preserve">Revenue</t>
  </si>
  <si>
    <t xml:space="preserve">Variable costs</t>
  </si>
  <si>
    <t xml:space="preserve">Fixed costs</t>
  </si>
  <si>
    <t xml:space="preserve">Profit / month</t>
  </si>
  <si>
    <t xml:space="preserve">Profit / year</t>
  </si>
  <si>
    <t xml:space="preserve">Breakeven shops (Starter)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</si>
</sst>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\$#,##0.00"/>
    <numFmt numFmtId="167" formatCode="0.0%"/>
    <numFmt numFmtId="168" formatCode="\$#,##0"/>
    <numFmt numFmtId="169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20</v>
      </c>
    </row>
    <row r="5" customFormat="false" ht="15" hidden="false" customHeight="false" outlineLevel="0" collapsed="false">
      <c r="A5" s="0" t="s">
        <v>3</v>
      </c>
      <c r="B5" s="3" t="n">
        <v>20</v>
      </c>
    </row>
    <row r="6" customFormat="false" ht="15" hidden="false" customHeight="false" outlineLevel="0" collapsed="false">
      <c r="A6" s="0" t="s">
        <v>4</v>
      </c>
      <c r="B6" s="3" t="n">
        <v>25</v>
      </c>
    </row>
    <row r="7" customFormat="false" ht="15" hidden="false" customHeight="false" outlineLevel="0" collapsed="false">
      <c r="A7" s="0" t="s">
        <v>5</v>
      </c>
      <c r="B7" s="3" t="n">
        <v>20</v>
      </c>
    </row>
    <row r="8" customFormat="false" ht="15" hidden="false" customHeight="false" outlineLevel="0" collapsed="false">
      <c r="A8" s="0" t="s">
        <v>6</v>
      </c>
      <c r="B8" s="3" t="n">
        <v>0</v>
      </c>
    </row>
    <row r="9" customFormat="false" ht="15" hidden="false" customHeight="false" outlineLevel="0" collapsed="false">
      <c r="A9" s="0" t="s">
        <v>7</v>
      </c>
      <c r="B9" s="3" t="n">
        <v>5</v>
      </c>
    </row>
    <row r="10" customFormat="false" ht="15" hidden="false" customHeight="false" outlineLevel="0" collapsed="false">
      <c r="A10" s="0" t="s">
        <v>8</v>
      </c>
      <c r="B10" s="3" t="n">
        <v>20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0" t="s">
        <v>10</v>
      </c>
      <c r="B13" s="4" t="n">
        <v>0.072</v>
      </c>
    </row>
    <row r="14" customFormat="false" ht="15" hidden="false" customHeight="false" outlineLevel="0" collapsed="false">
      <c r="A14" s="0" t="s">
        <v>11</v>
      </c>
      <c r="B14" s="5" t="n">
        <v>0.029</v>
      </c>
    </row>
    <row r="15" customFormat="false" ht="15" hidden="false" customHeight="false" outlineLevel="0" collapsed="false">
      <c r="A15" s="0" t="s">
        <v>12</v>
      </c>
      <c r="B15" s="4" t="n">
        <v>0.3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0" t="s">
        <v>14</v>
      </c>
      <c r="B18" s="3" t="n">
        <v>100</v>
      </c>
    </row>
    <row r="19" customFormat="false" ht="15" hidden="false" customHeight="false" outlineLevel="0" collapsed="false">
      <c r="A19" s="0" t="s">
        <v>15</v>
      </c>
      <c r="B19" s="4" t="n">
        <v>2000</v>
      </c>
    </row>
    <row r="20" customFormat="false" ht="15" hidden="false" customHeight="false" outlineLevel="0" collapsed="false">
      <c r="A20" s="0" t="s">
        <v>16</v>
      </c>
      <c r="B20" s="5" t="n">
        <v>0.015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0" t="s">
        <v>18</v>
      </c>
      <c r="B23" s="4" t="n">
        <v>39</v>
      </c>
    </row>
    <row r="24" customFormat="false" ht="15" hidden="false" customHeight="false" outlineLevel="0" collapsed="false">
      <c r="A24" s="0" t="s">
        <v>19</v>
      </c>
      <c r="B24" s="4" t="n">
        <v>99</v>
      </c>
    </row>
    <row r="25" customFormat="false" ht="15" hidden="false" customHeight="false" outlineLevel="0" collapsed="false">
      <c r="A25" s="0" t="s">
        <v>20</v>
      </c>
      <c r="B25" s="4" t="n">
        <v>299</v>
      </c>
    </row>
    <row r="26" customFormat="false" ht="15" hidden="false" customHeight="false" outlineLevel="0" collapsed="false">
      <c r="A26" s="0" t="s">
        <v>21</v>
      </c>
      <c r="B26" s="3" t="n">
        <v>250</v>
      </c>
    </row>
    <row r="27" customFormat="false" ht="15" hidden="false" customHeight="false" outlineLevel="0" collapsed="false">
      <c r="A27" s="0" t="s">
        <v>22</v>
      </c>
      <c r="B27" s="3" t="n">
        <v>700</v>
      </c>
    </row>
    <row r="28" customFormat="false" ht="15" hidden="false" customHeight="false" outlineLevel="0" collapsed="false">
      <c r="A28" s="0" t="s">
        <v>23</v>
      </c>
      <c r="B28" s="3" t="n">
        <v>1500</v>
      </c>
    </row>
    <row r="29" customFormat="false" ht="15" hidden="false" customHeight="false" outlineLevel="0" collapsed="false">
      <c r="A29" s="0" t="s">
        <v>24</v>
      </c>
      <c r="B29" s="4" t="n">
        <v>0.13</v>
      </c>
    </row>
    <row r="30" customFormat="false" ht="15" hidden="false" customHeight="false" outlineLevel="0" collapsed="false">
      <c r="A30" s="0" t="s">
        <v>25</v>
      </c>
      <c r="B30" s="4" t="n">
        <v>0.12</v>
      </c>
    </row>
    <row r="31" customFormat="false" ht="15" hidden="false" customHeight="false" outlineLevel="0" collapsed="false">
      <c r="A31" s="0" t="s">
        <v>26</v>
      </c>
      <c r="B31" s="4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/>
      <c r="B3" s="2" t="s">
        <v>18</v>
      </c>
      <c r="C3" s="2" t="s">
        <v>19</v>
      </c>
      <c r="D3" s="2" t="s">
        <v>20</v>
      </c>
    </row>
    <row r="4" customFormat="false" ht="15" hidden="false" customHeight="false" outlineLevel="0" collapsed="false">
      <c r="A4" s="0" t="s">
        <v>28</v>
      </c>
      <c r="B4" s="6" t="n">
        <f aca="false">Assumptions!$B$23</f>
        <v>39</v>
      </c>
      <c r="C4" s="6" t="n">
        <f aca="false">Assumptions!$B$24</f>
        <v>99</v>
      </c>
      <c r="D4" s="6" t="n">
        <f aca="false">Assumptions!$B$25</f>
        <v>299</v>
      </c>
    </row>
    <row r="5" customFormat="false" ht="15" hidden="false" customHeight="false" outlineLevel="0" collapsed="false">
      <c r="A5" s="0" t="s">
        <v>29</v>
      </c>
      <c r="B5" s="6" t="n">
        <f aca="false">Assumptions!$B$19*Assumptions!$B$20</f>
        <v>30</v>
      </c>
      <c r="C5" s="6" t="n">
        <f aca="false">Assumptions!$B$19*Assumptions!$B$20</f>
        <v>30</v>
      </c>
      <c r="D5" s="6" t="n">
        <f aca="false">Assumptions!$B$19*Assumptions!$B$20</f>
        <v>30</v>
      </c>
    </row>
    <row r="6" customFormat="false" ht="15" hidden="false" customHeight="false" outlineLevel="0" collapsed="false">
      <c r="A6" s="0" t="s">
        <v>30</v>
      </c>
      <c r="B6" s="6" t="n">
        <f aca="false">MAX(0,MAX(0,Assumptions!$B$18-Assumptions!$B$26)*Assumptions!$B$29-Assumptions!$B$19*Assumptions!$B$20)</f>
        <v>0</v>
      </c>
      <c r="C6" s="6" t="n">
        <f aca="false">MAX(0,MAX(0,Assumptions!$B$18-Assumptions!$B$27)*Assumptions!$B$30-Assumptions!$B$19*Assumptions!$B$20)</f>
        <v>0</v>
      </c>
      <c r="D6" s="6" t="n">
        <f aca="false">MAX(0,MAX(0,Assumptions!$B$18-Assumptions!$B$28)*Assumptions!$B$31-Assumptions!$B$19*Assumptions!$B$20)</f>
        <v>0</v>
      </c>
    </row>
    <row r="7" customFormat="false" ht="15" hidden="false" customHeight="false" outlineLevel="0" collapsed="false">
      <c r="A7" s="7" t="s">
        <v>31</v>
      </c>
      <c r="B7" s="8" t="n">
        <f aca="false">B4+B5+B6</f>
        <v>69</v>
      </c>
      <c r="C7" s="8" t="n">
        <f aca="false">C4+C5+C6</f>
        <v>129</v>
      </c>
      <c r="D7" s="8" t="n">
        <f aca="false">D4+D5+D6</f>
        <v>329</v>
      </c>
    </row>
    <row r="8" customFormat="false" ht="15" hidden="false" customHeight="false" outlineLevel="0" collapsed="false">
      <c r="A8" s="0" t="s">
        <v>32</v>
      </c>
      <c r="B8" s="6" t="n">
        <f aca="false">-Assumptions!$B$18*Assumptions!$B$13</f>
        <v>-7.2</v>
      </c>
      <c r="C8" s="6" t="n">
        <f aca="false">-Assumptions!$B$18*Assumptions!$B$13</f>
        <v>-7.2</v>
      </c>
      <c r="D8" s="6" t="n">
        <f aca="false">-Assumptions!$B$18*Assumptions!$B$13</f>
        <v>-7.2</v>
      </c>
    </row>
    <row r="9" customFormat="false" ht="15" hidden="false" customHeight="false" outlineLevel="0" collapsed="false">
      <c r="A9" s="0" t="s">
        <v>33</v>
      </c>
      <c r="B9" s="6" t="n">
        <f aca="false">-(Assumptions!$B$23*Assumptions!$B$14+Assumptions!$B$15)</f>
        <v>-1.431</v>
      </c>
      <c r="C9" s="6" t="n">
        <f aca="false">-(Assumptions!$B$24*Assumptions!$B$14+Assumptions!$B$15)</f>
        <v>-3.171</v>
      </c>
      <c r="D9" s="6" t="n">
        <f aca="false">-(Assumptions!$B$25*Assumptions!$B$14+Assumptions!$B$15)</f>
        <v>-8.971</v>
      </c>
    </row>
    <row r="10" customFormat="false" ht="15" hidden="false" customHeight="false" outlineLevel="0" collapsed="false">
      <c r="A10" s="7" t="s">
        <v>34</v>
      </c>
      <c r="B10" s="8" t="n">
        <f aca="false">B7+B8+B9</f>
        <v>60.369</v>
      </c>
      <c r="C10" s="8" t="n">
        <f aca="false">C7+C8+C9</f>
        <v>118.629</v>
      </c>
      <c r="D10" s="8" t="n">
        <f aca="false">D7+D8+D9</f>
        <v>312.829</v>
      </c>
    </row>
    <row r="11" customFormat="false" ht="15" hidden="false" customHeight="false" outlineLevel="0" collapsed="false">
      <c r="A11" s="0" t="s">
        <v>35</v>
      </c>
      <c r="B11" s="9" t="n">
        <f aca="false">IF(B7=0,0,B10/B7)</f>
        <v>0.874913043478261</v>
      </c>
      <c r="C11" s="9" t="n">
        <f aca="false">IF(C7=0,0,C10/C7)</f>
        <v>0.919604651162791</v>
      </c>
      <c r="D11" s="9" t="n">
        <f aca="false">IF(D7=0,0,D10/D7)</f>
        <v>0.95084802431611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</row>
    <row r="4" customFormat="false" ht="15" hidden="false" customHeight="false" outlineLevel="0" collapsed="false">
      <c r="A4" s="10" t="n">
        <v>0</v>
      </c>
      <c r="B4" s="11" t="n">
        <f aca="false">A4*('Per-Shop P&amp;L'!B7)</f>
        <v>0</v>
      </c>
      <c r="C4" s="11" t="n">
        <f aca="false">A4*('Per-Shop P&amp;L'!B8+'Per-Shop P&amp;L'!B9)</f>
        <v>-0</v>
      </c>
      <c r="D4" s="11" t="n">
        <f aca="false">-(Assumptions!$B$4+Assumptions!$B$5+Assumptions!$B$6+Assumptions!$B$7+Assumptions!$B$8+Assumptions!$B$9+Assumptions!$B$10)</f>
        <v>-110</v>
      </c>
      <c r="E4" s="11" t="n">
        <f aca="false">B4+C4+D4</f>
        <v>-110</v>
      </c>
      <c r="F4" s="11" t="n">
        <f aca="false">E4*12</f>
        <v>-1320</v>
      </c>
    </row>
    <row r="5" customFormat="false" ht="15" hidden="false" customHeight="false" outlineLevel="0" collapsed="false">
      <c r="A5" s="10" t="n">
        <v>1</v>
      </c>
      <c r="B5" s="11" t="n">
        <f aca="false">A5*('Per-Shop P&amp;L'!B7)</f>
        <v>69</v>
      </c>
      <c r="C5" s="11" t="n">
        <f aca="false">A5*('Per-Shop P&amp;L'!B8+'Per-Shop P&amp;L'!B9)</f>
        <v>-8.631</v>
      </c>
      <c r="D5" s="11" t="n">
        <f aca="false">-(Assumptions!$B$4+Assumptions!$B$5+Assumptions!$B$6+Assumptions!$B$7+Assumptions!$B$8+Assumptions!$B$9+Assumptions!$B$10)</f>
        <v>-110</v>
      </c>
      <c r="E5" s="11" t="n">
        <f aca="false">B5+C5+D5</f>
        <v>-49.631</v>
      </c>
      <c r="F5" s="11" t="n">
        <f aca="false">E5*12</f>
        <v>-595.572</v>
      </c>
    </row>
    <row r="6" customFormat="false" ht="15" hidden="false" customHeight="false" outlineLevel="0" collapsed="false">
      <c r="A6" s="10" t="n">
        <v>3</v>
      </c>
      <c r="B6" s="11" t="n">
        <f aca="false">A6*('Per-Shop P&amp;L'!B7)</f>
        <v>207</v>
      </c>
      <c r="C6" s="11" t="n">
        <f aca="false">A6*('Per-Shop P&amp;L'!B8+'Per-Shop P&amp;L'!B9)</f>
        <v>-25.893</v>
      </c>
      <c r="D6" s="11" t="n">
        <f aca="false">-(Assumptions!$B$4+Assumptions!$B$5+Assumptions!$B$6+Assumptions!$B$7+Assumptions!$B$8+Assumptions!$B$9+Assumptions!$B$10)</f>
        <v>-110</v>
      </c>
      <c r="E6" s="11" t="n">
        <f aca="false">B6+C6+D6</f>
        <v>71.107</v>
      </c>
      <c r="F6" s="11" t="n">
        <f aca="false">E6*12</f>
        <v>853.284</v>
      </c>
    </row>
    <row r="7" customFormat="false" ht="15" hidden="false" customHeight="false" outlineLevel="0" collapsed="false">
      <c r="A7" s="10" t="n">
        <v>5</v>
      </c>
      <c r="B7" s="11" t="n">
        <f aca="false">A7*('Per-Shop P&amp;L'!B7)</f>
        <v>345</v>
      </c>
      <c r="C7" s="11" t="n">
        <f aca="false">A7*('Per-Shop P&amp;L'!B8+'Per-Shop P&amp;L'!B9)</f>
        <v>-43.155</v>
      </c>
      <c r="D7" s="11" t="n">
        <f aca="false">-(Assumptions!$B$4+Assumptions!$B$5+Assumptions!$B$6+Assumptions!$B$7+Assumptions!$B$8+Assumptions!$B$9+Assumptions!$B$10)</f>
        <v>-110</v>
      </c>
      <c r="E7" s="11" t="n">
        <f aca="false">B7+C7+D7</f>
        <v>191.845</v>
      </c>
      <c r="F7" s="11" t="n">
        <f aca="false">E7*12</f>
        <v>2302.14</v>
      </c>
    </row>
    <row r="8" customFormat="false" ht="15" hidden="false" customHeight="false" outlineLevel="0" collapsed="false">
      <c r="A8" s="10" t="n">
        <v>10</v>
      </c>
      <c r="B8" s="11" t="n">
        <f aca="false">A8*('Per-Shop P&amp;L'!B7)</f>
        <v>690</v>
      </c>
      <c r="C8" s="11" t="n">
        <f aca="false">A8*('Per-Shop P&amp;L'!B8+'Per-Shop P&amp;L'!B9)</f>
        <v>-86.31</v>
      </c>
      <c r="D8" s="11" t="n">
        <f aca="false">-(Assumptions!$B$4+Assumptions!$B$5+Assumptions!$B$6+Assumptions!$B$7+Assumptions!$B$8+Assumptions!$B$9+Assumptions!$B$10)</f>
        <v>-110</v>
      </c>
      <c r="E8" s="11" t="n">
        <f aca="false">B8+C8+D8</f>
        <v>493.69</v>
      </c>
      <c r="F8" s="11" t="n">
        <f aca="false">E8*12</f>
        <v>5924.28</v>
      </c>
    </row>
    <row r="9" customFormat="false" ht="15" hidden="false" customHeight="false" outlineLevel="0" collapsed="false">
      <c r="A9" s="10" t="n">
        <v>25</v>
      </c>
      <c r="B9" s="11" t="n">
        <f aca="false">A9*('Per-Shop P&amp;L'!B7)</f>
        <v>1725</v>
      </c>
      <c r="C9" s="11" t="n">
        <f aca="false">A9*('Per-Shop P&amp;L'!B8+'Per-Shop P&amp;L'!B9)</f>
        <v>-215.775</v>
      </c>
      <c r="D9" s="11" t="n">
        <f aca="false">-(Assumptions!$B$4+Assumptions!$B$5+Assumptions!$B$6+Assumptions!$B$7+Assumptions!$B$8+Assumptions!$B$9+Assumptions!$B$10)</f>
        <v>-110</v>
      </c>
      <c r="E9" s="11" t="n">
        <f aca="false">B9+C9+D9</f>
        <v>1399.225</v>
      </c>
      <c r="F9" s="11" t="n">
        <f aca="false">E9*12</f>
        <v>16790.7</v>
      </c>
    </row>
    <row r="10" customFormat="false" ht="15" hidden="false" customHeight="false" outlineLevel="0" collapsed="false">
      <c r="A10" s="10" t="n">
        <v>50</v>
      </c>
      <c r="B10" s="11" t="n">
        <f aca="false">A10*('Per-Shop P&amp;L'!B7)</f>
        <v>3450</v>
      </c>
      <c r="C10" s="11" t="n">
        <f aca="false">A10*('Per-Shop P&amp;L'!B8+'Per-Shop P&amp;L'!B9)</f>
        <v>-431.55</v>
      </c>
      <c r="D10" s="11" t="n">
        <f aca="false">-(Assumptions!$B$4+Assumptions!$B$5+Assumptions!$B$6+Assumptions!$B$7+Assumptions!$B$8+Assumptions!$B$9+Assumptions!$B$10)</f>
        <v>-110</v>
      </c>
      <c r="E10" s="11" t="n">
        <f aca="false">B10+C10+D10</f>
        <v>2908.45</v>
      </c>
      <c r="F10" s="11" t="n">
        <f aca="false">E10*12</f>
        <v>34901.4</v>
      </c>
    </row>
    <row r="11" customFormat="false" ht="15" hidden="false" customHeight="false" outlineLevel="0" collapsed="false">
      <c r="A11" s="10" t="n">
        <v>100</v>
      </c>
      <c r="B11" s="11" t="n">
        <f aca="false">A11*('Per-Shop P&amp;L'!B7)</f>
        <v>6900</v>
      </c>
      <c r="C11" s="11" t="n">
        <f aca="false">A11*('Per-Shop P&amp;L'!B8+'Per-Shop P&amp;L'!B9)</f>
        <v>-863.1</v>
      </c>
      <c r="D11" s="11" t="n">
        <f aca="false">-(Assumptions!$B$4+Assumptions!$B$5+Assumptions!$B$6+Assumptions!$B$7+Assumptions!$B$8+Assumptions!$B$9+Assumptions!$B$10)</f>
        <v>-110</v>
      </c>
      <c r="E11" s="11" t="n">
        <f aca="false">B11+C11+D11</f>
        <v>5926.9</v>
      </c>
      <c r="F11" s="11" t="n">
        <f aca="false">E11*12</f>
        <v>71122.8</v>
      </c>
    </row>
    <row r="12" customFormat="false" ht="15" hidden="false" customHeight="false" outlineLevel="0" collapsed="false">
      <c r="A12" s="10" t="n">
        <v>200</v>
      </c>
      <c r="B12" s="11" t="n">
        <f aca="false">A12*('Per-Shop P&amp;L'!B7)</f>
        <v>13800</v>
      </c>
      <c r="C12" s="11" t="n">
        <f aca="false">A12*('Per-Shop P&amp;L'!B8+'Per-Shop P&amp;L'!B9)</f>
        <v>-1726.2</v>
      </c>
      <c r="D12" s="11" t="n">
        <f aca="false">-(Assumptions!$B$4+Assumptions!$B$5+Assumptions!$B$6+Assumptions!$B$7+Assumptions!$B$8+Assumptions!$B$9+Assumptions!$B$10)</f>
        <v>-110</v>
      </c>
      <c r="E12" s="11" t="n">
        <f aca="false">B12+C12+D12</f>
        <v>11963.8</v>
      </c>
      <c r="F12" s="11" t="n">
        <f aca="false">E12*12</f>
        <v>143565.6</v>
      </c>
    </row>
    <row r="14" customFormat="false" ht="15" hidden="false" customHeight="false" outlineLevel="0" collapsed="false">
      <c r="A14" s="7" t="s">
        <v>43</v>
      </c>
      <c r="B14" s="12" t="n">
        <f aca="false">(Assumptions!$B$4+Assumptions!$B$5+Assumptions!$B$6+Assumptions!$B$7+Assumptions!$B$8+Assumptions!$B$9+Assumptions!$B$10)/('Per-Shop P&amp;L'!B10)</f>
        <v>1.82212725074127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2026-07-02T16:39:26Z</dcterms:created>
  <dc:creator>openpyxl</dc:creator>
  <dc:description/>
  <dc:language>en-US</dc:language>
  <cp:lastModifiedBy/>
  <dcterms:modified xsi:type="dcterms:W3CDTF">2026-07-02T16:39:26Z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